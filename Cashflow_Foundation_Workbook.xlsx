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FixedExpenses" sheetId="3" state="visible" r:id="rId3"/>
    <sheet xmlns:r="http://schemas.openxmlformats.org/officeDocument/2006/relationships" name="Account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40" customWidth="1" min="3" max="3"/>
    <col width="18" customWidth="1" min="4" max="4"/>
    <col width="28" customWidth="1" min="5" max="5"/>
    <col width="16" customWidth="1" min="6" max="6"/>
    <col width="18" customWidth="1" min="7" max="7"/>
    <col width="30" customWidth="1" min="8" max="8"/>
  </cols>
  <sheetData>
    <row r="1">
      <c r="A1" t="inlineStr">
        <is>
          <t>Date (YYYY-MM-DD)</t>
        </is>
      </c>
      <c r="B1" t="inlineStr">
        <is>
          <t>Account</t>
        </is>
      </c>
      <c r="C1" t="inlineStr">
        <is>
          <t>Description</t>
        </is>
      </c>
      <c r="D1" t="inlineStr">
        <is>
          <t>Category</t>
        </is>
      </c>
      <c r="E1" t="inlineStr">
        <is>
          <t>Amount ($)  (+ for inflow, - for outflow)</t>
        </is>
      </c>
      <c r="F1" t="inlineStr">
        <is>
          <t>Type (auto)</t>
        </is>
      </c>
      <c r="G1" t="inlineStr">
        <is>
          <t>Fixed? (Yes/No)</t>
        </is>
      </c>
      <c r="H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>
        <f>IFERROR(IF(E{r}&gt;=0,"Inflow","Outflow"),"")</f>
        <v/>
      </c>
      <c r="G2" t="inlineStr"/>
      <c r="H2" t="inlineStr"/>
    </row>
    <row r="3">
      <c r="A3" t="inlineStr"/>
      <c r="B3" t="inlineStr"/>
      <c r="C3" t="inlineStr"/>
      <c r="D3" t="inlineStr"/>
      <c r="E3" t="inlineStr"/>
      <c r="F3">
        <f>IFERROR(IF(E{r}&gt;=0,"Inflow","Outflow"),"")</f>
        <v/>
      </c>
      <c r="G3" t="inlineStr"/>
      <c r="H3" t="inlineStr"/>
    </row>
    <row r="4">
      <c r="A4" t="inlineStr"/>
      <c r="B4" t="inlineStr"/>
      <c r="C4" t="inlineStr"/>
      <c r="D4" t="inlineStr"/>
      <c r="E4" t="inlineStr"/>
      <c r="F4">
        <f>IFERROR(IF(E{r}&gt;=0,"Inflow","Outflow"),"")</f>
        <v/>
      </c>
      <c r="G4" t="inlineStr"/>
      <c r="H4" t="inlineStr"/>
    </row>
    <row r="5">
      <c r="A5" t="inlineStr"/>
      <c r="B5" t="inlineStr"/>
      <c r="C5" t="inlineStr"/>
      <c r="D5" t="inlineStr"/>
      <c r="E5" t="inlineStr"/>
      <c r="F5">
        <f>IFERROR(IF(E{r}&gt;=0,"Inflow","Outflow"),"")</f>
        <v/>
      </c>
      <c r="G5" t="inlineStr"/>
      <c r="H5" t="inlineStr"/>
    </row>
    <row r="6">
      <c r="A6" t="inlineStr"/>
      <c r="B6" t="inlineStr"/>
      <c r="C6" t="inlineStr"/>
      <c r="D6" t="inlineStr"/>
      <c r="E6" t="inlineStr"/>
      <c r="F6">
        <f>IFERROR(IF(E{r}&gt;=0,"Inflow","Outflow"),"")</f>
        <v/>
      </c>
      <c r="G6" t="inlineStr"/>
      <c r="H6" t="inlineStr"/>
    </row>
    <row r="7">
      <c r="A7" t="inlineStr"/>
      <c r="B7" t="inlineStr"/>
      <c r="C7" t="inlineStr"/>
      <c r="D7" t="inlineStr"/>
      <c r="E7" t="inlineStr"/>
      <c r="F7">
        <f>IFERROR(IF(E{r}&gt;=0,"Inflow","Outflow"),"")</f>
        <v/>
      </c>
      <c r="G7" t="inlineStr"/>
      <c r="H7" t="inlineStr"/>
    </row>
    <row r="8">
      <c r="A8" t="inlineStr"/>
      <c r="B8" t="inlineStr"/>
      <c r="C8" t="inlineStr"/>
      <c r="D8" t="inlineStr"/>
      <c r="E8" t="inlineStr"/>
      <c r="F8">
        <f>IFERROR(IF(E{r}&gt;=0,"Inflow","Outflow"),"")</f>
        <v/>
      </c>
      <c r="G8" t="inlineStr"/>
      <c r="H8" t="inlineStr"/>
    </row>
    <row r="9">
      <c r="A9" t="inlineStr"/>
      <c r="B9" t="inlineStr"/>
      <c r="C9" t="inlineStr"/>
      <c r="D9" t="inlineStr"/>
      <c r="E9" t="inlineStr"/>
      <c r="F9">
        <f>IFERROR(IF(E{r}&gt;=0,"Inflow","Outflow"),"")</f>
        <v/>
      </c>
      <c r="G9" t="inlineStr"/>
      <c r="H9" t="inlineStr"/>
    </row>
    <row r="10">
      <c r="A10" t="inlineStr"/>
      <c r="B10" t="inlineStr"/>
      <c r="C10" t="inlineStr"/>
      <c r="D10" t="inlineStr"/>
      <c r="E10" t="inlineStr"/>
      <c r="F10">
        <f>IFERROR(IF(E{r}&gt;=0,"Inflow","Outflow"),"")</f>
        <v/>
      </c>
      <c r="G10" t="inlineStr"/>
      <c r="H10" t="inlineStr"/>
    </row>
    <row r="11">
      <c r="A11" t="inlineStr"/>
      <c r="B11" t="inlineStr"/>
      <c r="C11" t="inlineStr"/>
      <c r="D11" t="inlineStr"/>
      <c r="E11" t="inlineStr"/>
      <c r="F11">
        <f>IFERROR(IF(E{r}&gt;=0,"Inflow","Outflow"),"")</f>
        <v/>
      </c>
      <c r="G11" t="inlineStr"/>
      <c r="H11" t="inlineStr"/>
    </row>
    <row r="12">
      <c r="A12" t="inlineStr"/>
      <c r="B12" t="inlineStr"/>
      <c r="C12" t="inlineStr"/>
      <c r="D12" t="inlineStr"/>
      <c r="E12" t="inlineStr"/>
      <c r="F12">
        <f>IFERROR(IF(E{r}&gt;=0,"Inflow","Outflow"),"")</f>
        <v/>
      </c>
      <c r="G12" t="inlineStr"/>
      <c r="H12" t="inlineStr"/>
    </row>
    <row r="13">
      <c r="A13" t="inlineStr"/>
      <c r="B13" t="inlineStr"/>
      <c r="C13" t="inlineStr"/>
      <c r="D13" t="inlineStr"/>
      <c r="E13" t="inlineStr"/>
      <c r="F13">
        <f>IFERROR(IF(E{r}&gt;=0,"Inflow","Outflow"),"")</f>
        <v/>
      </c>
      <c r="G13" t="inlineStr"/>
      <c r="H13" t="inlineStr"/>
    </row>
    <row r="14">
      <c r="A14" t="inlineStr"/>
      <c r="B14" t="inlineStr"/>
      <c r="C14" t="inlineStr"/>
      <c r="D14" t="inlineStr"/>
      <c r="E14" t="inlineStr"/>
      <c r="F14">
        <f>IFERROR(IF(E{r}&gt;=0,"Inflow","Outflow"),"")</f>
        <v/>
      </c>
      <c r="G14" t="inlineStr"/>
      <c r="H14" t="inlineStr"/>
    </row>
    <row r="15">
      <c r="A15" t="inlineStr"/>
      <c r="B15" t="inlineStr"/>
      <c r="C15" t="inlineStr"/>
      <c r="D15" t="inlineStr"/>
      <c r="E15" t="inlineStr"/>
      <c r="F15">
        <f>IFERROR(IF(E{r}&gt;=0,"Inflow","Outflow"),"")</f>
        <v/>
      </c>
      <c r="G15" t="inlineStr"/>
      <c r="H15" t="inlineStr"/>
    </row>
    <row r="16">
      <c r="A16" t="inlineStr"/>
      <c r="B16" t="inlineStr"/>
      <c r="C16" t="inlineStr"/>
      <c r="D16" t="inlineStr"/>
      <c r="E16" t="inlineStr"/>
      <c r="F16">
        <f>IFERROR(IF(E{r}&gt;=0,"Inflow","Outflow"),"")</f>
        <v/>
      </c>
      <c r="G16" t="inlineStr"/>
      <c r="H16" t="inlineStr"/>
    </row>
    <row r="17">
      <c r="A17" t="inlineStr"/>
      <c r="B17" t="inlineStr"/>
      <c r="C17" t="inlineStr"/>
      <c r="D17" t="inlineStr"/>
      <c r="E17" t="inlineStr"/>
      <c r="F17">
        <f>IFERROR(IF(E{r}&gt;=0,"Inflow","Outflow"),"")</f>
        <v/>
      </c>
      <c r="G17" t="inlineStr"/>
      <c r="H17" t="inlineStr"/>
    </row>
    <row r="18">
      <c r="A18" t="inlineStr"/>
      <c r="B18" t="inlineStr"/>
      <c r="C18" t="inlineStr"/>
      <c r="D18" t="inlineStr"/>
      <c r="E18" t="inlineStr"/>
      <c r="F18">
        <f>IFERROR(IF(E{r}&gt;=0,"Inflow","Outflow"),"")</f>
        <v/>
      </c>
      <c r="G18" t="inlineStr"/>
      <c r="H18" t="inlineStr"/>
    </row>
    <row r="19">
      <c r="A19" t="inlineStr"/>
      <c r="B19" t="inlineStr"/>
      <c r="C19" t="inlineStr"/>
      <c r="D19" t="inlineStr"/>
      <c r="E19" t="inlineStr"/>
      <c r="F19">
        <f>IFERROR(IF(E{r}&gt;=0,"Inflow","Outflow"),"")</f>
        <v/>
      </c>
      <c r="G19" t="inlineStr"/>
      <c r="H19" t="inlineStr"/>
    </row>
    <row r="20">
      <c r="A20" t="inlineStr"/>
      <c r="B20" t="inlineStr"/>
      <c r="C20" t="inlineStr"/>
      <c r="D20" t="inlineStr"/>
      <c r="E20" t="inlineStr"/>
      <c r="F20">
        <f>IFERROR(IF(E{r}&gt;=0,"Inflow","Outflow"),"")</f>
        <v/>
      </c>
      <c r="G20" t="inlineStr"/>
      <c r="H20" t="inlineStr"/>
    </row>
    <row r="21">
      <c r="A21" t="inlineStr"/>
      <c r="B21" t="inlineStr"/>
      <c r="C21" t="inlineStr"/>
      <c r="D21" t="inlineStr"/>
      <c r="E21" t="inlineStr"/>
      <c r="F21">
        <f>IFERROR(IF(E{r}&gt;=0,"Inflow","Outflow"),"")</f>
        <v/>
      </c>
      <c r="G21" t="inlineStr"/>
      <c r="H21" t="inlineStr"/>
    </row>
    <row r="22">
      <c r="A22" t="inlineStr"/>
      <c r="B22" t="inlineStr"/>
      <c r="C22" t="inlineStr"/>
      <c r="D22" t="inlineStr"/>
      <c r="E22" t="inlineStr"/>
      <c r="F22">
        <f>IFERROR(IF(E{r}&gt;=0,"Inflow","Outflow"),"")</f>
        <v/>
      </c>
      <c r="G22" t="inlineStr"/>
      <c r="H22" t="inlineStr"/>
    </row>
    <row r="23">
      <c r="A23" t="inlineStr"/>
      <c r="B23" t="inlineStr"/>
      <c r="C23" t="inlineStr"/>
      <c r="D23" t="inlineStr"/>
      <c r="E23" t="inlineStr"/>
      <c r="F23">
        <f>IFERROR(IF(E{r}&gt;=0,"Inflow","Outflow"),"")</f>
        <v/>
      </c>
      <c r="G23" t="inlineStr"/>
      <c r="H23" t="inlineStr"/>
    </row>
    <row r="24">
      <c r="A24" t="inlineStr"/>
      <c r="B24" t="inlineStr"/>
      <c r="C24" t="inlineStr"/>
      <c r="D24" t="inlineStr"/>
      <c r="E24" t="inlineStr"/>
      <c r="F24">
        <f>IFERROR(IF(E{r}&gt;=0,"Inflow","Outflow"),"")</f>
        <v/>
      </c>
      <c r="G24" t="inlineStr"/>
      <c r="H24" t="inlineStr"/>
    </row>
    <row r="25">
      <c r="A25" t="inlineStr"/>
      <c r="B25" t="inlineStr"/>
      <c r="C25" t="inlineStr"/>
      <c r="D25" t="inlineStr"/>
      <c r="E25" t="inlineStr"/>
      <c r="F25">
        <f>IFERROR(IF(E{r}&gt;=0,"Inflow","Outflow"),"")</f>
        <v/>
      </c>
      <c r="G25" t="inlineStr"/>
      <c r="H25" t="inlineStr"/>
    </row>
    <row r="26">
      <c r="A26" t="inlineStr"/>
      <c r="B26" t="inlineStr"/>
      <c r="C26" t="inlineStr"/>
      <c r="D26" t="inlineStr"/>
      <c r="E26" t="inlineStr"/>
      <c r="F26">
        <f>IFERROR(IF(E{r}&gt;=0,"Inflow","Outflow"),"")</f>
        <v/>
      </c>
      <c r="G26" t="inlineStr"/>
      <c r="H26" t="inlineStr"/>
    </row>
    <row r="27">
      <c r="A27" t="inlineStr"/>
      <c r="B27" t="inlineStr"/>
      <c r="C27" t="inlineStr"/>
      <c r="D27" t="inlineStr"/>
      <c r="E27" t="inlineStr"/>
      <c r="F27">
        <f>IFERROR(IF(E{r}&gt;=0,"Inflow","Outflow"),"")</f>
        <v/>
      </c>
      <c r="G27" t="inlineStr"/>
      <c r="H27" t="inlineStr"/>
    </row>
    <row r="28">
      <c r="A28" t="inlineStr"/>
      <c r="B28" t="inlineStr"/>
      <c r="C28" t="inlineStr"/>
      <c r="D28" t="inlineStr"/>
      <c r="E28" t="inlineStr"/>
      <c r="F28">
        <f>IFERROR(IF(E{r}&gt;=0,"Inflow","Outflow"),"")</f>
        <v/>
      </c>
      <c r="G28" t="inlineStr"/>
      <c r="H28" t="inlineStr"/>
    </row>
    <row r="29">
      <c r="A29" t="inlineStr"/>
      <c r="B29" t="inlineStr"/>
      <c r="C29" t="inlineStr"/>
      <c r="D29" t="inlineStr"/>
      <c r="E29" t="inlineStr"/>
      <c r="F29">
        <f>IFERROR(IF(E{r}&gt;=0,"Inflow","Outflow"),"")</f>
        <v/>
      </c>
      <c r="G29" t="inlineStr"/>
      <c r="H29" t="inlineStr"/>
    </row>
    <row r="30">
      <c r="A30" t="inlineStr"/>
      <c r="B30" t="inlineStr"/>
      <c r="C30" t="inlineStr"/>
      <c r="D30" t="inlineStr"/>
      <c r="E30" t="inlineStr"/>
      <c r="F30">
        <f>IFERROR(IF(E{r}&gt;=0,"Inflow","Outflow"),"")</f>
        <v/>
      </c>
      <c r="G30" t="inlineStr"/>
      <c r="H30" t="inlineStr"/>
    </row>
    <row r="31">
      <c r="A31" t="inlineStr"/>
      <c r="B31" t="inlineStr"/>
      <c r="C31" t="inlineStr"/>
      <c r="D31" t="inlineStr"/>
      <c r="E31" t="inlineStr"/>
      <c r="F31">
        <f>IFERROR(IF(E{r}&gt;=0,"Inflow","Outflow"),"")</f>
        <v/>
      </c>
      <c r="G31" t="inlineStr"/>
      <c r="H31" t="inlineStr"/>
    </row>
    <row r="32">
      <c r="A32" t="inlineStr"/>
      <c r="B32" t="inlineStr"/>
      <c r="C32" t="inlineStr"/>
      <c r="D32" t="inlineStr"/>
      <c r="E32" t="inlineStr"/>
      <c r="F32">
        <f>IFERROR(IF(E{r}&gt;=0,"Inflow","Outflow"),"")</f>
        <v/>
      </c>
      <c r="G32" t="inlineStr"/>
      <c r="H32" t="inlineStr"/>
    </row>
    <row r="33">
      <c r="A33" t="inlineStr"/>
      <c r="B33" t="inlineStr"/>
      <c r="C33" t="inlineStr"/>
      <c r="D33" t="inlineStr"/>
      <c r="E33" t="inlineStr"/>
      <c r="F33">
        <f>IFERROR(IF(E{r}&gt;=0,"Inflow","Outflow"),"")</f>
        <v/>
      </c>
      <c r="G33" t="inlineStr"/>
      <c r="H33" t="inlineStr"/>
    </row>
    <row r="34">
      <c r="A34" t="inlineStr"/>
      <c r="B34" t="inlineStr"/>
      <c r="C34" t="inlineStr"/>
      <c r="D34" t="inlineStr"/>
      <c r="E34" t="inlineStr"/>
      <c r="F34">
        <f>IFERROR(IF(E{r}&gt;=0,"Inflow","Outflow"),"")</f>
        <v/>
      </c>
      <c r="G34" t="inlineStr"/>
      <c r="H34" t="inlineStr"/>
    </row>
    <row r="35">
      <c r="A35" t="inlineStr"/>
      <c r="B35" t="inlineStr"/>
      <c r="C35" t="inlineStr"/>
      <c r="D35" t="inlineStr"/>
      <c r="E35" t="inlineStr"/>
      <c r="F35">
        <f>IFERROR(IF(E{r}&gt;=0,"Inflow","Outflow"),"")</f>
        <v/>
      </c>
      <c r="G35" t="inlineStr"/>
      <c r="H35" t="inlineStr"/>
    </row>
    <row r="36">
      <c r="A36" t="inlineStr"/>
      <c r="B36" t="inlineStr"/>
      <c r="C36" t="inlineStr"/>
      <c r="D36" t="inlineStr"/>
      <c r="E36" t="inlineStr"/>
      <c r="F36">
        <f>IFERROR(IF(E{r}&gt;=0,"Inflow","Outflow"),"")</f>
        <v/>
      </c>
      <c r="G36" t="inlineStr"/>
      <c r="H36" t="inlineStr"/>
    </row>
    <row r="37">
      <c r="A37" t="inlineStr"/>
      <c r="B37" t="inlineStr"/>
      <c r="C37" t="inlineStr"/>
      <c r="D37" t="inlineStr"/>
      <c r="E37" t="inlineStr"/>
      <c r="F37">
        <f>IFERROR(IF(E{r}&gt;=0,"Inflow","Outflow"),"")</f>
        <v/>
      </c>
      <c r="G37" t="inlineStr"/>
      <c r="H37" t="inlineStr"/>
    </row>
    <row r="38">
      <c r="A38" t="inlineStr"/>
      <c r="B38" t="inlineStr"/>
      <c r="C38" t="inlineStr"/>
      <c r="D38" t="inlineStr"/>
      <c r="E38" t="inlineStr"/>
      <c r="F38">
        <f>IFERROR(IF(E{r}&gt;=0,"Inflow","Outflow"),"")</f>
        <v/>
      </c>
      <c r="G38" t="inlineStr"/>
      <c r="H38" t="inlineStr"/>
    </row>
    <row r="39">
      <c r="A39" t="inlineStr"/>
      <c r="B39" t="inlineStr"/>
      <c r="C39" t="inlineStr"/>
      <c r="D39" t="inlineStr"/>
      <c r="E39" t="inlineStr"/>
      <c r="F39">
        <f>IFERROR(IF(E{r}&gt;=0,"Inflow","Outflow"),"")</f>
        <v/>
      </c>
      <c r="G39" t="inlineStr"/>
      <c r="H39" t="inlineStr"/>
    </row>
    <row r="40">
      <c r="A40" t="inlineStr"/>
      <c r="B40" t="inlineStr"/>
      <c r="C40" t="inlineStr"/>
      <c r="D40" t="inlineStr"/>
      <c r="E40" t="inlineStr"/>
      <c r="F40">
        <f>IFERROR(IF(E{r}&gt;=0,"Inflow","Outflow"),"")</f>
        <v/>
      </c>
      <c r="G40" t="inlineStr"/>
      <c r="H40" t="inlineStr"/>
    </row>
    <row r="41">
      <c r="A41" t="inlineStr"/>
      <c r="B41" t="inlineStr"/>
      <c r="C41" t="inlineStr"/>
      <c r="D41" t="inlineStr"/>
      <c r="E41" t="inlineStr"/>
      <c r="F41">
        <f>IFERROR(IF(E{r}&gt;=0,"Inflow","Outflow"),"")</f>
        <v/>
      </c>
      <c r="G41" t="inlineStr"/>
      <c r="H41" t="inlineStr"/>
    </row>
    <row r="42">
      <c r="A42" t="inlineStr"/>
      <c r="B42" t="inlineStr"/>
      <c r="C42" t="inlineStr"/>
      <c r="D42" t="inlineStr"/>
      <c r="E42" t="inlineStr"/>
      <c r="F42">
        <f>IFERROR(IF(E{r}&gt;=0,"Inflow","Outflow"),"")</f>
        <v/>
      </c>
      <c r="G42" t="inlineStr"/>
      <c r="H42" t="inlineStr"/>
    </row>
    <row r="43">
      <c r="A43" t="inlineStr"/>
      <c r="B43" t="inlineStr"/>
      <c r="C43" t="inlineStr"/>
      <c r="D43" t="inlineStr"/>
      <c r="E43" t="inlineStr"/>
      <c r="F43">
        <f>IFERROR(IF(E{r}&gt;=0,"Inflow","Outflow"),"")</f>
        <v/>
      </c>
      <c r="G43" t="inlineStr"/>
      <c r="H43" t="inlineStr"/>
    </row>
    <row r="44">
      <c r="A44" t="inlineStr"/>
      <c r="B44" t="inlineStr"/>
      <c r="C44" t="inlineStr"/>
      <c r="D44" t="inlineStr"/>
      <c r="E44" t="inlineStr"/>
      <c r="F44">
        <f>IFERROR(IF(E{r}&gt;=0,"Inflow","Outflow"),"")</f>
        <v/>
      </c>
      <c r="G44" t="inlineStr"/>
      <c r="H44" t="inlineStr"/>
    </row>
    <row r="45">
      <c r="A45" t="inlineStr"/>
      <c r="B45" t="inlineStr"/>
      <c r="C45" t="inlineStr"/>
      <c r="D45" t="inlineStr"/>
      <c r="E45" t="inlineStr"/>
      <c r="F45">
        <f>IFERROR(IF(E{r}&gt;=0,"Inflow","Outflow"),"")</f>
        <v/>
      </c>
      <c r="G45" t="inlineStr"/>
      <c r="H45" t="inlineStr"/>
    </row>
    <row r="46">
      <c r="A46" t="inlineStr"/>
      <c r="B46" t="inlineStr"/>
      <c r="C46" t="inlineStr"/>
      <c r="D46" t="inlineStr"/>
      <c r="E46" t="inlineStr"/>
      <c r="F46">
        <f>IFERROR(IF(E{r}&gt;=0,"Inflow","Outflow"),"")</f>
        <v/>
      </c>
      <c r="G46" t="inlineStr"/>
      <c r="H46" t="inlineStr"/>
    </row>
    <row r="47">
      <c r="A47" t="inlineStr"/>
      <c r="B47" t="inlineStr"/>
      <c r="C47" t="inlineStr"/>
      <c r="D47" t="inlineStr"/>
      <c r="E47" t="inlineStr"/>
      <c r="F47">
        <f>IFERROR(IF(E{r}&gt;=0,"Inflow","Outflow"),"")</f>
        <v/>
      </c>
      <c r="G47" t="inlineStr"/>
      <c r="H47" t="inlineStr"/>
    </row>
    <row r="48">
      <c r="A48" t="inlineStr"/>
      <c r="B48" t="inlineStr"/>
      <c r="C48" t="inlineStr"/>
      <c r="D48" t="inlineStr"/>
      <c r="E48" t="inlineStr"/>
      <c r="F48">
        <f>IFERROR(IF(E{r}&gt;=0,"Inflow","Outflow"),"")</f>
        <v/>
      </c>
      <c r="G48" t="inlineStr"/>
      <c r="H48" t="inlineStr"/>
    </row>
    <row r="49">
      <c r="A49" t="inlineStr"/>
      <c r="B49" t="inlineStr"/>
      <c r="C49" t="inlineStr"/>
      <c r="D49" t="inlineStr"/>
      <c r="E49" t="inlineStr"/>
      <c r="F49">
        <f>IFERROR(IF(E{r}&gt;=0,"Inflow","Outflow"),"")</f>
        <v/>
      </c>
      <c r="G49" t="inlineStr"/>
      <c r="H49" t="inlineStr"/>
    </row>
    <row r="50">
      <c r="A50" t="inlineStr"/>
      <c r="B50" t="inlineStr"/>
      <c r="C50" t="inlineStr"/>
      <c r="D50" t="inlineStr"/>
      <c r="E50" t="inlineStr"/>
      <c r="F50">
        <f>IFERROR(IF(E{r}&gt;=0,"Inflow","Outflow"),"")</f>
        <v/>
      </c>
      <c r="G50" t="inlineStr"/>
      <c r="H50" t="inlineStr"/>
    </row>
    <row r="51">
      <c r="A51" t="inlineStr"/>
      <c r="B51" t="inlineStr"/>
      <c r="C51" t="inlineStr"/>
      <c r="D51" t="inlineStr"/>
      <c r="E51" t="inlineStr"/>
      <c r="F51">
        <f>IFERROR(IF(E{r}&gt;=0,"Inflow","Outflow"),"")</f>
        <v/>
      </c>
      <c r="G51" t="inlineStr"/>
      <c r="H51" t="inlineStr"/>
    </row>
  </sheetData>
  <dataValidations count="1">
    <dataValidation sqref="D2:D2000" showErrorMessage="1" showInputMessage="1" allowBlank="1" type="list">
      <formula1>=Categories!$A$2:$A$16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t="inlineStr">
        <is>
          <t>Category List</t>
        </is>
      </c>
    </row>
    <row r="2">
      <c r="A2" t="inlineStr">
        <is>
          <t>Income</t>
        </is>
      </c>
    </row>
    <row r="3">
      <c r="A3" t="inlineStr">
        <is>
          <t>Mortgage/Rent</t>
        </is>
      </c>
    </row>
    <row r="4">
      <c r="A4" t="inlineStr">
        <is>
          <t>Utilities</t>
        </is>
      </c>
    </row>
    <row r="5">
      <c r="A5" t="inlineStr">
        <is>
          <t>Insurance</t>
        </is>
      </c>
    </row>
    <row r="6">
      <c r="A6" t="inlineStr">
        <is>
          <t>Phone/Internet</t>
        </is>
      </c>
    </row>
    <row r="7">
      <c r="A7" t="inlineStr">
        <is>
          <t>Groceries</t>
        </is>
      </c>
    </row>
    <row r="8">
      <c r="A8" t="inlineStr">
        <is>
          <t>Dining</t>
        </is>
      </c>
    </row>
    <row r="9">
      <c r="A9" t="inlineStr">
        <is>
          <t>Fuel/Auto</t>
        </is>
      </c>
    </row>
    <row r="10">
      <c r="A10" t="inlineStr">
        <is>
          <t>Medical</t>
        </is>
      </c>
    </row>
    <row r="11">
      <c r="A11" t="inlineStr">
        <is>
          <t>Subscriptions</t>
        </is>
      </c>
    </row>
    <row r="12">
      <c r="A12" t="inlineStr">
        <is>
          <t>Debt-Minimums</t>
        </is>
      </c>
    </row>
    <row r="13">
      <c r="A13" t="inlineStr">
        <is>
          <t>Debt-Extra</t>
        </is>
      </c>
    </row>
    <row r="14">
      <c r="A14" t="inlineStr">
        <is>
          <t>Transfers</t>
        </is>
      </c>
    </row>
    <row r="15">
      <c r="A15" t="inlineStr">
        <is>
          <t>Taxes</t>
        </is>
      </c>
    </row>
    <row r="16">
      <c r="A16" t="inlineStr">
        <is>
          <t>Misc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40" customWidth="1" min="3" max="3"/>
  </cols>
  <sheetData>
    <row r="1">
      <c r="A1" t="inlineStr">
        <is>
          <t>Fixed Item</t>
        </is>
      </c>
      <c r="B1" t="inlineStr">
        <is>
          <t>Monthly Amount ($)</t>
        </is>
      </c>
      <c r="C1" t="inlineStr">
        <is>
          <t>Notes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/>
      <c r="B4" t="inlineStr"/>
      <c r="C4" t="inlineStr"/>
    </row>
    <row r="5">
      <c r="A5" t="inlineStr"/>
      <c r="B5" t="inlineStr"/>
      <c r="C5" t="inlineStr"/>
    </row>
    <row r="6">
      <c r="A6" t="inlineStr"/>
      <c r="B6" t="inlineStr"/>
      <c r="C6" t="inlineStr"/>
    </row>
    <row r="7">
      <c r="A7" t="inlineStr"/>
      <c r="B7" t="inlineStr"/>
      <c r="C7" t="inlineStr"/>
    </row>
    <row r="8">
      <c r="A8" t="inlineStr"/>
      <c r="B8" t="inlineStr"/>
      <c r="C8" t="inlineStr"/>
    </row>
    <row r="9">
      <c r="A9" t="inlineStr"/>
      <c r="B9" t="inlineStr"/>
      <c r="C9" t="inlineStr"/>
    </row>
    <row r="10">
      <c r="A10" t="inlineStr"/>
      <c r="B10" t="inlineStr"/>
      <c r="C10" t="inlineStr"/>
    </row>
    <row r="11">
      <c r="A11" t="inlineStr"/>
      <c r="B11" t="inlineStr"/>
      <c r="C11" t="inlineStr"/>
    </row>
    <row r="12">
      <c r="A12" t="inlineStr"/>
      <c r="B12" t="inlineStr"/>
      <c r="C12" t="inlineStr"/>
    </row>
    <row r="13">
      <c r="A13" t="inlineStr"/>
      <c r="B13" t="inlineStr"/>
      <c r="C13" t="inlineStr"/>
    </row>
    <row r="14">
      <c r="A14" t="inlineStr"/>
      <c r="B14" t="inlineStr"/>
      <c r="C14" t="inlineStr"/>
    </row>
    <row r="15">
      <c r="A15" t="inlineStr"/>
      <c r="B15" t="inlineStr"/>
      <c r="C15" t="inlineStr"/>
    </row>
    <row r="16">
      <c r="A16" t="inlineStr"/>
      <c r="B16" t="inlineStr"/>
      <c r="C16" t="inlineStr"/>
    </row>
    <row r="17">
      <c r="A17" t="inlineStr"/>
      <c r="B17" t="inlineStr"/>
      <c r="C17" t="inlineStr"/>
    </row>
    <row r="18">
      <c r="A18" t="inlineStr"/>
      <c r="B18" t="inlineStr"/>
      <c r="C18" t="inlineStr"/>
    </row>
    <row r="19">
      <c r="A19" t="inlineStr"/>
      <c r="B19" t="inlineStr"/>
      <c r="C19" t="inlineStr"/>
    </row>
    <row r="20">
      <c r="A20" t="inlineStr"/>
      <c r="B20" t="inlineStr"/>
      <c r="C20" t="inlineStr"/>
    </row>
    <row r="21">
      <c r="A21" t="inlineStr"/>
      <c r="B21" t="inlineStr"/>
      <c r="C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2" customWidth="1" min="3" max="3"/>
    <col width="40" customWidth="1" min="4" max="4"/>
    <col width="40" customWidth="1" min="5" max="5"/>
  </cols>
  <sheetData>
    <row r="1">
      <c r="A1" t="inlineStr">
        <is>
          <t>Institution</t>
        </is>
      </c>
      <c r="B1" t="inlineStr">
        <is>
          <t>Type (Bank/Card/Loan/Mortgage)</t>
        </is>
      </c>
      <c r="C1" t="inlineStr">
        <is>
          <t>Nickname</t>
        </is>
      </c>
      <c r="D1" t="inlineStr">
        <is>
          <t>Login URL</t>
        </is>
      </c>
      <c r="E1" t="inlineStr">
        <is>
          <t>Notes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/>
      <c r="B15" t="inlineStr"/>
      <c r="C15" t="inlineStr"/>
      <c r="D15" t="inlineStr"/>
      <c r="E15" t="inlineStr"/>
    </row>
    <row r="16">
      <c r="A16" t="inlineStr"/>
      <c r="B16" t="inlineStr"/>
      <c r="C16" t="inlineStr"/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</cols>
  <sheetData>
    <row r="1">
      <c r="A1" s="1" t="inlineStr">
        <is>
          <t>Cashflow Summary — Ground-Up Build</t>
        </is>
      </c>
    </row>
    <row r="2">
      <c r="A2" t="inlineStr">
        <is>
          <t>Prepared: September 07, 2025</t>
        </is>
      </c>
    </row>
    <row r="4">
      <c r="A4" s="2" t="inlineStr">
        <is>
          <t>Period</t>
        </is>
      </c>
      <c r="B4" s="2" t="inlineStr">
        <is>
          <t>Last 3 Months</t>
        </is>
      </c>
      <c r="C4" s="2" t="inlineStr">
        <is>
          <t>Last 6 Months</t>
        </is>
      </c>
    </row>
    <row r="6">
      <c r="A6" s="2" t="inlineStr">
        <is>
          <t>Total Inflows ($)</t>
        </is>
      </c>
      <c r="B6">
        <f>IFERROR(SUMIFS(Transactions!E:E,Transactions!F:F,"Inflow",Transactions!A:A,"&gt;="&amp;EDATE(TODAY(),-3)),0)</f>
        <v/>
      </c>
      <c r="C6">
        <f>IFERROR(SUMIFS(Transactions!E:E,Transactions!F:F,"Inflow",Transactions!A:A,"&gt;="&amp;EDATE(TODAY(),-6)),0)</f>
        <v/>
      </c>
    </row>
    <row r="7">
      <c r="A7" s="2" t="inlineStr">
        <is>
          <t>Total Outflows ($)</t>
        </is>
      </c>
      <c r="B7">
        <f>IFERROR(SUMIFS(Transactions!E:E,Transactions!F:F,"Outflow",Transactions!A:A,"&gt;="&amp;EDATE(TODAY(),-3)),0)</f>
        <v/>
      </c>
      <c r="C7">
        <f>IFERROR(SUMIFS(Transactions!E:E,Transactions!F:F,"Outflow",Transactions!A:A,"&gt;="&amp;EDATE(TODAY(),-6)),0)</f>
        <v/>
      </c>
    </row>
    <row r="8">
      <c r="A8" s="2" t="inlineStr">
        <is>
          <t>Net Surplus ($)</t>
        </is>
      </c>
      <c r="B8">
        <f>B6+B7</f>
        <v/>
      </c>
      <c r="C8">
        <f>C6+C7</f>
        <v/>
      </c>
    </row>
    <row r="9">
      <c r="A9" s="2" t="inlineStr">
        <is>
          <t>Average Monthly Inflows ($)</t>
        </is>
      </c>
      <c r="B9">
        <f>B6/3</f>
        <v/>
      </c>
      <c r="C9">
        <f>C6/6</f>
        <v/>
      </c>
    </row>
    <row r="10">
      <c r="A10" s="2" t="inlineStr">
        <is>
          <t>Average Monthly Outflows ($)</t>
        </is>
      </c>
      <c r="B10">
        <f>-B7/3</f>
        <v/>
      </c>
      <c r="C10">
        <f>-C7/6</f>
        <v/>
      </c>
    </row>
    <row r="11">
      <c r="A11" s="2" t="inlineStr">
        <is>
          <t>Average Monthly Surplus ($)</t>
        </is>
      </c>
      <c r="B11">
        <f>(B6-(-B7))/3</f>
        <v/>
      </c>
      <c r="C11">
        <f>(C6-(-C7))/6</f>
        <v/>
      </c>
    </row>
    <row r="13">
      <c r="A13" s="2" t="inlineStr">
        <is>
          <t>Risk Mode (Buffer %)</t>
        </is>
      </c>
      <c r="B13" t="inlineStr">
        <is>
          <t>Moderate</t>
        </is>
      </c>
    </row>
    <row r="14">
      <c r="A14" s="2" t="inlineStr">
        <is>
          <t>Buffer % used</t>
        </is>
      </c>
      <c r="B14">
        <f>IFERROR(CHOOSE(MATCH(B13,{"Conservative","Moderate","Aggressive"},0),0.25,0.15,0.05),0.15)</f>
        <v/>
      </c>
    </row>
    <row r="16">
      <c r="A16" s="2" t="inlineStr">
        <is>
          <t>Proposed Monthly EXTRA for Avalanche ($)</t>
        </is>
      </c>
      <c r="B16">
        <f>MAX(0, B11 - B14*B10)</f>
        <v/>
      </c>
    </row>
    <row r="18">
      <c r="A18" s="2" t="inlineStr">
        <is>
          <t>Emergency Fund Target (months of expenses)</t>
        </is>
      </c>
      <c r="B18" t="n">
        <v>6</v>
      </c>
    </row>
    <row r="20">
      <c r="A20" s="2" t="inlineStr">
        <is>
          <t>How this works:</t>
        </is>
      </c>
    </row>
    <row r="21" ht="60" customHeight="1">
      <c r="A21" s="3" t="inlineStr">
        <is>
          <t>1) Paste 3–6 months of transactions into Transactions (Date, Amount). Use positive for income and negative for spending.
2) Summary computes your average monthly surplus and proposes a safe EXTRA payment.
3) Enter that EXTRA into Avalanche_Autopilot cell B1 and schedule it to the highest-APR debt at the creditor site.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2025-09-07T15:37:24Z</dcterms:created>
  <dcterms:modified xmlns:dcterms="http://purl.org/dc/terms/" xmlns:xsi="http://www.w3.org/2001/XMLSchema-instance" xsi:type="dcterms:W3CDTF">2025-09-07T15:37:24Z</dcterms:modified>
</cp:coreProperties>
</file>